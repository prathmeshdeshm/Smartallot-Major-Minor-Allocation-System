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4C4D8473-1BC3-46D5-955E-4487542FA866}" xr6:coauthVersionLast="47" xr6:coauthVersionMax="47" xr10:uidLastSave="{00000000-0000-0000-0000-000000000000}"/>
  <bookViews>
    <workbookView xWindow="1440" yWindow="1176" windowWidth="21600" windowHeight="11772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<sst xmlns="http://schemas.openxmlformats.org/spreadsheetml/2006/main" count="167" uniqueCount="152">
  <si>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</si>
  <si>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</si>
  <si>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</si>
  <si>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</si>
  <si>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Th</t>
  </si>
  <si>
    <t>Int</t>
  </si>
  <si>
    <t>Total</t>
  </si>
  <si>
    <t>23BI310523</t>
  </si>
  <si>
    <t xml:space="preserve">ABHISHEK MOHAN CHAUDHARI 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</si>
  <si>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</si>
  <si>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</si>
  <si>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</si>
  <si>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</si>
  <si>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</si>
  <si>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</si>
  <si>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</si>
  <si>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</si>
  <si>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</si>
  <si>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</si>
  <si>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</si>
  <si>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</si>
  <si>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</si>
  <si>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</si>
  <si>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</si>
  <si>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</si>
  <si>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</si>
  <si>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</si>
  <si>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</si>
  <si>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</si>
  <si>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</si>
  <si>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</si>
  <si>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</si>
  <si>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</si>
  <si>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</si>
  <si>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</si>
  <si>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</si>
  <si>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</si>
  <si>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</si>
  <si>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</si>
  <si>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</si>
  <si>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</si>
  <si>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</si>
  <si>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</si>
  <si>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</si>
  <si>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</si>
  <si>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</si>
  <si>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</si>
  <si>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</si>
  <si>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</si>
  <si>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</si>
  <si>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</si>
  <si>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</si>
  <si>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</si>
  <si>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</si>
  <si>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</si>
  <si>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</si>
  <si>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</si>
  <si>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</si>
  <si>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</si>
  <si>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</si>
  <si>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</si>
  <si>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</si>
  <si>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</si>
  <si>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</si>
  <si>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</si>
  <si>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</si>
  <si>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</si>
  <si>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</si>
  <si>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</si>
  <si>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</si>
  <si>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</si>
  <si>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</si>
  <si>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</si>
  <si>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</si>
  <si>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</si>
  <si>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</si>
  <si>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</si>
  <si>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</si>
  <si>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</si>
  <si>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</si>
  <si>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</si>
  <si>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</si>
  <si>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</si>
  <si>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</si>
  <si>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</si>
  <si>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</si>
  <si>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</si>
  <si>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</si>
  <si>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</si>
  <si>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</si>
  <si>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</si>
  <si>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</si>
  <si>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</si>
  <si>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</si>
  <si>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</si>
  <si>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</si>
  <si>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</si>
  <si>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</si>
  <si>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</si>
  <si>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</si>
  <si>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</si>
  <si>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</si>
  <si>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</si>
  <si>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</si>
  <si>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</si>
  <si>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</si>
  <si>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</si>
  <si>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</si>
  <si>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</si>
  <si>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</si>
  <si>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</si>
  <si>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</si>
  <si>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</si>
  <si>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</si>
  <si>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</si>
  <si>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</si>
  <si>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</si>
  <si>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</si>
  <si>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</si>
  <si>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</si>
  <si>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</si>
  <si>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</si>
  <si>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</si>
  <si>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</si>
  <si>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</si>
  <si>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</si>
  <si>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</si>
  <si>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</si>
  <si>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</si>
  <si>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</si>
  <si>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</si>
  <si>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</si>
  <si>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</si>
  <si>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</si>
  <si>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</si>
  <si>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</si>
  <si>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</si>
  <si>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</si>
  <si>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</si>
  <si>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</si>
  <si>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</si>
  <si>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</si>
  <si>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</si>
  <si>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</si>
  <si>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</si>
  <si>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</si>
  <si>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</si>
  <si>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</si>
  <si>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</si>
  <si>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</si>
  <si>
    <t>Branch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</si>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</sst>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topLeftCell="H1" zoomScale="89" zoomScaleNormal="85" workbookViewId="0">
      <selection activeCell="W12" sqref="W12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2"/>
      <c r="Y1" s="2"/>
      <c r="Z1" s="2"/>
      <c r="AA1" s="2"/>
      <c r="AB1" s="2"/>
      <c r="AC1" s="2"/>
    </row>
    <row r="2" spans="1:29" ht="12.7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2"/>
      <c r="Y2" s="2"/>
      <c r="Z2" s="2"/>
      <c r="AA2" s="2"/>
      <c r="AB2" s="2"/>
      <c r="AC2" s="2"/>
    </row>
    <row r="3" spans="1:29" ht="12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2"/>
      <c r="Y3" s="2"/>
      <c r="Z3" s="2"/>
      <c r="AA3" s="2"/>
      <c r="AB3" s="2"/>
      <c r="AC3" s="2"/>
    </row>
    <row r="4" spans="1:29" ht="12.7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2"/>
      <c r="Y4" s="2"/>
      <c r="Z4" s="2"/>
      <c r="AA4" s="2"/>
      <c r="AB4" s="2"/>
      <c r="AC4" s="2"/>
    </row>
    <row r="5" spans="1:29" ht="12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2"/>
      <c r="Y5" s="2"/>
      <c r="Z5" s="2"/>
      <c r="AA5" s="2"/>
      <c r="AB5" s="2"/>
      <c r="AC5" s="2"/>
    </row>
    <row r="6" spans="1:29" ht="12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2"/>
      <c r="Y6" s="2"/>
      <c r="Z6" s="2"/>
      <c r="AA6" s="2"/>
      <c r="AB6" s="2"/>
      <c r="AC6" s="2"/>
    </row>
    <row r="7" spans="1:29" ht="18.75" customHeight="1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2"/>
      <c r="Y7" s="2"/>
      <c r="Z7" s="2"/>
      <c r="AA7" s="2"/>
      <c r="AB7" s="2"/>
      <c r="AC7" s="2"/>
    </row>
    <row r="8" spans="1:29" ht="24.75" customHeight="1" x14ac:dyDescent="0.25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2"/>
      <c r="Y8" s="2"/>
      <c r="Z8" s="2"/>
      <c r="AA8" s="2"/>
      <c r="AB8" s="2"/>
      <c r="AC8" s="2"/>
    </row>
    <row r="9" spans="1:29" ht="22.5" customHeight="1" x14ac:dyDescent="0.25">
      <c r="A9" s="62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2"/>
      <c r="Y9" s="2"/>
      <c r="Z9" s="2"/>
      <c r="AA9" s="2"/>
      <c r="AB9" s="2"/>
      <c r="AC9" s="2"/>
    </row>
    <row r="10" spans="1:29" ht="32.25" customHeight="1" x14ac:dyDescent="0.25">
      <c r="A10" s="53" t="s">
        <v>0</v>
      </c>
      <c r="B10" s="51" t="s">
        <v>1</v>
      </c>
      <c r="C10" s="51" t="s">
        <v>2</v>
      </c>
      <c r="D10" s="55" t="s">
        <v>142</v>
      </c>
      <c r="E10" s="56"/>
      <c r="F10" s="57"/>
      <c r="G10" s="55" t="s">
        <v>143</v>
      </c>
      <c r="H10" s="56"/>
      <c r="I10" s="57"/>
      <c r="J10" s="55" t="s">
        <v>144</v>
      </c>
      <c r="K10" s="56"/>
      <c r="L10" s="57"/>
      <c r="M10" s="55" t="s">
        <v>145</v>
      </c>
      <c r="N10" s="56"/>
      <c r="O10" s="57"/>
      <c r="P10" s="55" t="s">
        <v>146</v>
      </c>
      <c r="Q10" s="56"/>
      <c r="R10" s="57"/>
      <c r="S10" s="65" t="s">
        <v>147</v>
      </c>
      <c r="T10" s="66"/>
      <c r="U10" s="67"/>
      <c r="V10" s="51" t="s">
        <v>3</v>
      </c>
      <c r="W10" s="51" t="s">
        <v>150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4"/>
      <c r="B11" s="52"/>
      <c r="C11" s="52"/>
      <c r="D11" s="5" t="s">
        <v>4</v>
      </c>
      <c r="E11" s="5" t="s">
        <v>5</v>
      </c>
      <c r="F11" s="5" t="s">
        <v>6</v>
      </c>
      <c r="G11" s="5" t="s">
        <v>4</v>
      </c>
      <c r="H11" s="5" t="s">
        <v>5</v>
      </c>
      <c r="I11" s="5" t="s">
        <v>6</v>
      </c>
      <c r="J11" s="5" t="s">
        <v>4</v>
      </c>
      <c r="K11" s="5" t="s">
        <v>5</v>
      </c>
      <c r="L11" s="5" t="s">
        <v>6</v>
      </c>
      <c r="M11" s="5" t="s">
        <v>4</v>
      </c>
      <c r="N11" s="5" t="s">
        <v>5</v>
      </c>
      <c r="O11" s="5" t="s">
        <v>6</v>
      </c>
      <c r="P11" s="5" t="s">
        <v>4</v>
      </c>
      <c r="Q11" s="5" t="s">
        <v>5</v>
      </c>
      <c r="R11" s="3" t="s">
        <v>6</v>
      </c>
      <c r="S11" s="5" t="s">
        <v>4</v>
      </c>
      <c r="T11" s="5" t="s">
        <v>5</v>
      </c>
      <c r="U11" s="5" t="s">
        <v>6</v>
      </c>
      <c r="V11" s="52"/>
      <c r="W11" s="52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7</v>
      </c>
      <c r="C12" s="8" t="s">
        <v>8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151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9</v>
      </c>
      <c r="C13" s="8" t="s">
        <v>10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/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11</v>
      </c>
      <c r="C14" s="8" t="s">
        <v>12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/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13</v>
      </c>
      <c r="C15" s="8" t="s">
        <v>14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/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15</v>
      </c>
      <c r="C16" s="8" t="s">
        <v>16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/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17</v>
      </c>
      <c r="C17" s="8" t="s">
        <v>18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/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19</v>
      </c>
      <c r="C18" s="8" t="s">
        <v>20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/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21</v>
      </c>
      <c r="C19" s="8" t="s">
        <v>22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/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23</v>
      </c>
      <c r="C20" s="8" t="s">
        <v>24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/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25</v>
      </c>
      <c r="C21" s="8" t="s">
        <v>26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/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27</v>
      </c>
      <c r="C22" s="8" t="s">
        <v>28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/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29</v>
      </c>
      <c r="C23" s="8" t="s">
        <v>148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/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30</v>
      </c>
      <c r="C24" s="8" t="s">
        <v>31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/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32</v>
      </c>
      <c r="C25" s="8" t="s">
        <v>33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/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34</v>
      </c>
      <c r="C26" s="8" t="s">
        <v>35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/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37</v>
      </c>
      <c r="C27" s="8" t="s">
        <v>38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/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39</v>
      </c>
      <c r="C28" s="8" t="s">
        <v>40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/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41</v>
      </c>
      <c r="C29" s="8" t="s">
        <v>42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/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43</v>
      </c>
      <c r="C30" s="8" t="s">
        <v>44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/>
      <c r="X30" s="15"/>
      <c r="Y30" s="15"/>
      <c r="Z30" s="15"/>
      <c r="AA30" s="15"/>
      <c r="AB30" s="15"/>
      <c r="AC30" s="15"/>
    </row>
    <row r="31" spans="1:29" ht="30" customHeight="1" x14ac:dyDescent="0.25">
      <c r="A31" s="53" t="s">
        <v>36</v>
      </c>
      <c r="B31" s="51"/>
      <c r="C31" s="51"/>
      <c r="D31" s="55"/>
      <c r="E31" s="56"/>
      <c r="F31" s="57"/>
      <c r="G31" s="55"/>
      <c r="H31" s="56"/>
      <c r="I31" s="57"/>
      <c r="J31" s="55"/>
      <c r="K31" s="56"/>
      <c r="L31" s="57"/>
      <c r="M31" s="55"/>
      <c r="N31" s="56"/>
      <c r="O31" s="57"/>
      <c r="P31" s="55"/>
      <c r="Q31" s="56"/>
      <c r="R31" s="57"/>
      <c r="S31" s="65"/>
      <c r="T31" s="66"/>
      <c r="U31" s="67"/>
      <c r="V31" s="51"/>
      <c r="W31" s="63"/>
      <c r="X31" s="4"/>
      <c r="Y31" s="4"/>
      <c r="Z31" s="4"/>
      <c r="AA31" s="4"/>
      <c r="AB31" s="4"/>
      <c r="AC31" s="4"/>
    </row>
    <row r="32" spans="1:29" ht="30" customHeight="1" x14ac:dyDescent="0.25">
      <c r="A32" s="54"/>
      <c r="B32" s="52"/>
      <c r="C32" s="5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2"/>
      <c r="W32" s="64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45</v>
      </c>
      <c r="C33" s="8" t="s">
        <v>46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/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47</v>
      </c>
      <c r="C34" s="8" t="s">
        <v>48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/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49</v>
      </c>
      <c r="C35" s="8" t="s">
        <v>50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/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51</v>
      </c>
      <c r="C36" s="8" t="s">
        <v>52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/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53</v>
      </c>
      <c r="C37" s="8" t="s">
        <v>54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/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55</v>
      </c>
      <c r="C38" s="8" t="s">
        <v>56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/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57</v>
      </c>
      <c r="C39" s="8" t="s">
        <v>58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/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59</v>
      </c>
      <c r="C40" s="8" t="s">
        <v>60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/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61</v>
      </c>
      <c r="C41" s="8" t="s">
        <v>62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/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63</v>
      </c>
      <c r="C42" s="19" t="s">
        <v>64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/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65</v>
      </c>
      <c r="C43" s="8" t="s">
        <v>66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/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67</v>
      </c>
      <c r="C44" s="8" t="s">
        <v>68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/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69</v>
      </c>
      <c r="C45" s="8" t="s">
        <v>70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/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71</v>
      </c>
      <c r="C46" s="8" t="s">
        <v>72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/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73</v>
      </c>
      <c r="C47" s="8" t="s">
        <v>74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/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75</v>
      </c>
      <c r="C48" s="8" t="s">
        <v>76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/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77</v>
      </c>
      <c r="C49" s="8" t="s">
        <v>78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/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79</v>
      </c>
      <c r="C50" s="8" t="s">
        <v>80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/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81</v>
      </c>
      <c r="C51" s="8" t="s">
        <v>82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/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83</v>
      </c>
      <c r="C52" s="8" t="s">
        <v>84</v>
      </c>
      <c r="D52" s="13">
        <v>47</v>
      </c>
      <c r="E52" s="13">
        <v>19</v>
      </c>
      <c r="F52" s="16">
        <f>SUM(D52+E52)</f>
        <v>66</v>
      </c>
      <c r="G52" s="13">
        <v>43</v>
      </c>
      <c r="H52" s="13">
        <v>19</v>
      </c>
      <c r="I52" s="16">
        <f t="shared" ref="I52:I56" si="7">SUM(G52+H52)</f>
        <v>62</v>
      </c>
      <c r="J52" s="13">
        <v>58</v>
      </c>
      <c r="K52" s="13">
        <v>19</v>
      </c>
      <c r="L52" s="16">
        <f t="shared" ref="L52:L60" si="8">SUM(J52+K52)</f>
        <v>77</v>
      </c>
      <c r="M52" s="13">
        <v>57</v>
      </c>
      <c r="N52" s="13">
        <v>19</v>
      </c>
      <c r="O52" s="16">
        <f t="shared" ref="O52" si="9">SUM(M52+N52)</f>
        <v>76</v>
      </c>
      <c r="P52" s="13">
        <v>50</v>
      </c>
      <c r="Q52" s="13">
        <v>19</v>
      </c>
      <c r="R52" s="16">
        <f t="shared" ref="R52:R53" si="10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/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85</v>
      </c>
      <c r="C53" s="8" t="s">
        <v>86</v>
      </c>
      <c r="D53" s="13">
        <v>35</v>
      </c>
      <c r="E53" s="13">
        <v>17</v>
      </c>
      <c r="F53" s="16">
        <f>SUM(D53+E53)</f>
        <v>52</v>
      </c>
      <c r="G53" s="13">
        <v>23</v>
      </c>
      <c r="H53" s="13">
        <v>17</v>
      </c>
      <c r="I53" s="16">
        <f t="shared" si="7"/>
        <v>40</v>
      </c>
      <c r="J53" s="13">
        <v>31</v>
      </c>
      <c r="K53" s="13">
        <v>17</v>
      </c>
      <c r="L53" s="16">
        <f t="shared" si="8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0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/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87</v>
      </c>
      <c r="C54" s="8" t="s">
        <v>88</v>
      </c>
      <c r="D54" s="13">
        <v>40</v>
      </c>
      <c r="E54" s="13">
        <v>19</v>
      </c>
      <c r="F54" s="16">
        <f>SUM(D54+E54)</f>
        <v>59</v>
      </c>
      <c r="G54" s="13">
        <v>48</v>
      </c>
      <c r="H54" s="13">
        <v>19</v>
      </c>
      <c r="I54" s="16">
        <f t="shared" si="7"/>
        <v>67</v>
      </c>
      <c r="J54" s="13">
        <v>52</v>
      </c>
      <c r="K54" s="13">
        <v>19</v>
      </c>
      <c r="L54" s="16">
        <f t="shared" si="8"/>
        <v>71</v>
      </c>
      <c r="M54" s="13">
        <v>40</v>
      </c>
      <c r="N54" s="13">
        <v>19</v>
      </c>
      <c r="O54" s="16">
        <f t="shared" ref="O54:O60" si="11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/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89</v>
      </c>
      <c r="C55" s="8" t="s">
        <v>90</v>
      </c>
      <c r="D55" s="13">
        <v>44</v>
      </c>
      <c r="E55" s="13">
        <v>19</v>
      </c>
      <c r="F55" s="16">
        <f>SUM(D55+E55)</f>
        <v>63</v>
      </c>
      <c r="G55" s="13">
        <v>41</v>
      </c>
      <c r="H55" s="13">
        <v>19</v>
      </c>
      <c r="I55" s="16">
        <f t="shared" si="7"/>
        <v>60</v>
      </c>
      <c r="J55" s="13">
        <v>51</v>
      </c>
      <c r="K55" s="13">
        <v>19</v>
      </c>
      <c r="L55" s="16">
        <f t="shared" si="8"/>
        <v>70</v>
      </c>
      <c r="M55" s="13">
        <v>53</v>
      </c>
      <c r="N55" s="13">
        <v>19</v>
      </c>
      <c r="O55" s="16">
        <f t="shared" si="11"/>
        <v>72</v>
      </c>
      <c r="P55" s="13">
        <v>45</v>
      </c>
      <c r="Q55" s="13">
        <v>19</v>
      </c>
      <c r="R55" s="16">
        <f t="shared" ref="R55:R60" si="12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/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91</v>
      </c>
      <c r="C56" s="8" t="s">
        <v>92</v>
      </c>
      <c r="D56" s="13">
        <v>30</v>
      </c>
      <c r="E56" s="13">
        <v>16</v>
      </c>
      <c r="F56" s="16">
        <f>SUM(D56+E56)</f>
        <v>46</v>
      </c>
      <c r="G56" s="13">
        <v>24</v>
      </c>
      <c r="H56" s="13">
        <v>16</v>
      </c>
      <c r="I56" s="16">
        <f t="shared" si="7"/>
        <v>40</v>
      </c>
      <c r="J56" s="13">
        <v>33</v>
      </c>
      <c r="K56" s="13">
        <v>16</v>
      </c>
      <c r="L56" s="16">
        <f t="shared" si="8"/>
        <v>49</v>
      </c>
      <c r="M56" s="13">
        <v>41</v>
      </c>
      <c r="N56" s="13">
        <v>16</v>
      </c>
      <c r="O56" s="16">
        <f t="shared" si="11"/>
        <v>57</v>
      </c>
      <c r="P56" s="13">
        <v>45</v>
      </c>
      <c r="Q56" s="13">
        <v>16</v>
      </c>
      <c r="R56" s="16">
        <f t="shared" si="12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/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3"/>
      <c r="B57" s="51"/>
      <c r="C57" s="51"/>
      <c r="D57" s="55"/>
      <c r="E57" s="56"/>
      <c r="F57" s="57"/>
      <c r="G57" s="55"/>
      <c r="H57" s="56"/>
      <c r="I57" s="57"/>
      <c r="J57" s="55"/>
      <c r="K57" s="56"/>
      <c r="L57" s="57"/>
      <c r="M57" s="55"/>
      <c r="N57" s="56"/>
      <c r="O57" s="57"/>
      <c r="P57" s="55"/>
      <c r="Q57" s="56"/>
      <c r="R57" s="57"/>
      <c r="S57" s="65"/>
      <c r="T57" s="66"/>
      <c r="U57" s="67"/>
      <c r="V57" s="51"/>
      <c r="W57" s="63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4"/>
      <c r="B58" s="52"/>
      <c r="C58" s="5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2"/>
      <c r="W58" s="64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93</v>
      </c>
      <c r="C59" s="8" t="s">
        <v>94</v>
      </c>
      <c r="D59" s="13">
        <v>23</v>
      </c>
      <c r="E59" s="13">
        <v>14</v>
      </c>
      <c r="F59" s="16">
        <f t="shared" ref="F59:F72" si="13">SUM(D59+E59)</f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8"/>
        <v>48</v>
      </c>
      <c r="M59" s="13">
        <v>24</v>
      </c>
      <c r="N59" s="13">
        <v>14</v>
      </c>
      <c r="O59" s="16">
        <f t="shared" si="11"/>
        <v>38</v>
      </c>
      <c r="P59" s="13">
        <v>37</v>
      </c>
      <c r="Q59" s="13">
        <v>14</v>
      </c>
      <c r="R59" s="16">
        <f t="shared" si="12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/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95</v>
      </c>
      <c r="C60" s="8" t="s">
        <v>149</v>
      </c>
      <c r="D60" s="20">
        <v>36</v>
      </c>
      <c r="E60" s="20">
        <v>14</v>
      </c>
      <c r="F60" s="21">
        <f t="shared" si="13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8"/>
        <v>53</v>
      </c>
      <c r="M60" s="20">
        <v>40</v>
      </c>
      <c r="N60" s="20">
        <v>14</v>
      </c>
      <c r="O60" s="21">
        <f t="shared" si="11"/>
        <v>54</v>
      </c>
      <c r="P60" s="20">
        <v>40</v>
      </c>
      <c r="Q60" s="20">
        <v>14</v>
      </c>
      <c r="R60" s="21">
        <f t="shared" si="12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/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96</v>
      </c>
      <c r="C61" s="8" t="s">
        <v>97</v>
      </c>
      <c r="D61" s="6">
        <v>22</v>
      </c>
      <c r="E61" s="6">
        <v>16</v>
      </c>
      <c r="F61" s="9">
        <f t="shared" si="13"/>
        <v>38</v>
      </c>
      <c r="G61" s="6">
        <v>2</v>
      </c>
      <c r="H61" s="6">
        <v>16</v>
      </c>
      <c r="I61" s="9">
        <f t="shared" ref="I61:I71" si="15">SUM(G61+H61)</f>
        <v>18</v>
      </c>
      <c r="J61" s="6">
        <v>24</v>
      </c>
      <c r="K61" s="6">
        <v>16</v>
      </c>
      <c r="L61" s="9">
        <f t="shared" ref="L61:L71" si="16">SUM(J61+K61)</f>
        <v>40</v>
      </c>
      <c r="M61" s="6">
        <v>28</v>
      </c>
      <c r="N61" s="6">
        <v>16</v>
      </c>
      <c r="O61" s="9">
        <f t="shared" ref="O61:O71" si="17">SUM(M61+N61)</f>
        <v>44</v>
      </c>
      <c r="P61" s="6">
        <v>28</v>
      </c>
      <c r="Q61" s="6">
        <v>16</v>
      </c>
      <c r="R61" s="9">
        <f t="shared" ref="R61:R71" si="18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/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98</v>
      </c>
      <c r="C62" s="8" t="s">
        <v>99</v>
      </c>
      <c r="D62" s="6">
        <v>36</v>
      </c>
      <c r="E62" s="6">
        <v>19</v>
      </c>
      <c r="F62" s="9">
        <f t="shared" si="13"/>
        <v>55</v>
      </c>
      <c r="G62" s="6">
        <v>21</v>
      </c>
      <c r="H62" s="6">
        <v>19</v>
      </c>
      <c r="I62" s="9">
        <f t="shared" si="15"/>
        <v>40</v>
      </c>
      <c r="J62" s="6">
        <v>26</v>
      </c>
      <c r="K62" s="6">
        <v>19</v>
      </c>
      <c r="L62" s="9">
        <f t="shared" si="16"/>
        <v>45</v>
      </c>
      <c r="M62" s="6">
        <v>36</v>
      </c>
      <c r="N62" s="6">
        <v>19</v>
      </c>
      <c r="O62" s="9">
        <f t="shared" si="17"/>
        <v>55</v>
      </c>
      <c r="P62" s="6">
        <v>48</v>
      </c>
      <c r="Q62" s="6">
        <v>19</v>
      </c>
      <c r="R62" s="9">
        <f t="shared" si="18"/>
        <v>67</v>
      </c>
      <c r="S62" s="6">
        <v>0</v>
      </c>
      <c r="T62" s="6">
        <v>0</v>
      </c>
      <c r="U62" s="9">
        <v>0</v>
      </c>
      <c r="V62" s="13">
        <f t="shared" ref="V62:V83" si="19">SUM(F62,I62,L62,O62,R62,U62)</f>
        <v>262</v>
      </c>
      <c r="W62" s="37"/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100</v>
      </c>
      <c r="C63" s="8" t="s">
        <v>101</v>
      </c>
      <c r="D63" s="6">
        <v>42</v>
      </c>
      <c r="E63" s="6">
        <v>20</v>
      </c>
      <c r="F63" s="9">
        <f t="shared" si="13"/>
        <v>62</v>
      </c>
      <c r="G63" s="6">
        <v>60</v>
      </c>
      <c r="H63" s="6">
        <v>20</v>
      </c>
      <c r="I63" s="9">
        <f t="shared" si="15"/>
        <v>80</v>
      </c>
      <c r="J63" s="6">
        <v>40</v>
      </c>
      <c r="K63" s="6">
        <v>20</v>
      </c>
      <c r="L63" s="9">
        <f t="shared" si="16"/>
        <v>60</v>
      </c>
      <c r="M63" s="6">
        <v>51</v>
      </c>
      <c r="N63" s="6">
        <v>20</v>
      </c>
      <c r="O63" s="9">
        <f t="shared" si="17"/>
        <v>71</v>
      </c>
      <c r="P63" s="6">
        <v>47</v>
      </c>
      <c r="Q63" s="6">
        <v>20</v>
      </c>
      <c r="R63" s="9">
        <f t="shared" si="18"/>
        <v>67</v>
      </c>
      <c r="S63" s="6">
        <v>0</v>
      </c>
      <c r="T63" s="6">
        <v>0</v>
      </c>
      <c r="U63" s="9">
        <v>0</v>
      </c>
      <c r="V63" s="13">
        <f t="shared" si="19"/>
        <v>340</v>
      </c>
      <c r="W63" s="37"/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102</v>
      </c>
      <c r="C64" s="8" t="s">
        <v>103</v>
      </c>
      <c r="D64" s="6">
        <v>42</v>
      </c>
      <c r="E64" s="6">
        <v>14</v>
      </c>
      <c r="F64" s="9">
        <f t="shared" si="13"/>
        <v>56</v>
      </c>
      <c r="G64" s="6">
        <v>6</v>
      </c>
      <c r="H64" s="6">
        <v>14</v>
      </c>
      <c r="I64" s="9">
        <f t="shared" si="15"/>
        <v>20</v>
      </c>
      <c r="J64" s="6">
        <v>46</v>
      </c>
      <c r="K64" s="6">
        <v>14</v>
      </c>
      <c r="L64" s="9">
        <f t="shared" si="16"/>
        <v>60</v>
      </c>
      <c r="M64" s="6">
        <v>46</v>
      </c>
      <c r="N64" s="6">
        <v>14</v>
      </c>
      <c r="O64" s="9">
        <f t="shared" si="17"/>
        <v>60</v>
      </c>
      <c r="P64" s="6">
        <v>56</v>
      </c>
      <c r="Q64" s="6">
        <v>14</v>
      </c>
      <c r="R64" s="9">
        <f t="shared" si="18"/>
        <v>70</v>
      </c>
      <c r="S64" s="6">
        <v>0</v>
      </c>
      <c r="T64" s="6">
        <v>0</v>
      </c>
      <c r="U64" s="9">
        <v>0</v>
      </c>
      <c r="V64" s="13">
        <f t="shared" si="19"/>
        <v>266</v>
      </c>
      <c r="W64" s="37"/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104</v>
      </c>
      <c r="C65" s="8" t="s">
        <v>105</v>
      </c>
      <c r="D65" s="6">
        <v>36</v>
      </c>
      <c r="E65" s="6">
        <v>14</v>
      </c>
      <c r="F65" s="9">
        <f t="shared" si="13"/>
        <v>50</v>
      </c>
      <c r="G65" s="6">
        <v>1</v>
      </c>
      <c r="H65" s="6">
        <v>14</v>
      </c>
      <c r="I65" s="9">
        <f t="shared" si="15"/>
        <v>15</v>
      </c>
      <c r="J65" s="6">
        <v>11</v>
      </c>
      <c r="K65" s="6">
        <v>14</v>
      </c>
      <c r="L65" s="9">
        <f t="shared" si="16"/>
        <v>25</v>
      </c>
      <c r="M65" s="6">
        <v>38</v>
      </c>
      <c r="N65" s="6">
        <v>14</v>
      </c>
      <c r="O65" s="9">
        <f t="shared" si="17"/>
        <v>52</v>
      </c>
      <c r="P65" s="6">
        <v>41</v>
      </c>
      <c r="Q65" s="6">
        <v>14</v>
      </c>
      <c r="R65" s="9">
        <f t="shared" si="18"/>
        <v>55</v>
      </c>
      <c r="S65" s="6">
        <v>0</v>
      </c>
      <c r="T65" s="6">
        <v>0</v>
      </c>
      <c r="U65" s="9">
        <v>0</v>
      </c>
      <c r="V65" s="13">
        <f t="shared" si="19"/>
        <v>197</v>
      </c>
      <c r="W65" s="37"/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106</v>
      </c>
      <c r="C66" s="8" t="s">
        <v>107</v>
      </c>
      <c r="D66" s="6">
        <v>32</v>
      </c>
      <c r="E66" s="6">
        <v>14</v>
      </c>
      <c r="F66" s="9">
        <f t="shared" si="13"/>
        <v>46</v>
      </c>
      <c r="G66" s="6">
        <v>8</v>
      </c>
      <c r="H66" s="6">
        <v>14</v>
      </c>
      <c r="I66" s="9">
        <f t="shared" si="15"/>
        <v>22</v>
      </c>
      <c r="J66" s="6">
        <v>35</v>
      </c>
      <c r="K66" s="6">
        <v>14</v>
      </c>
      <c r="L66" s="9">
        <f t="shared" si="16"/>
        <v>49</v>
      </c>
      <c r="M66" s="6">
        <v>34</v>
      </c>
      <c r="N66" s="6">
        <v>14</v>
      </c>
      <c r="O66" s="9">
        <f t="shared" si="17"/>
        <v>48</v>
      </c>
      <c r="P66" s="6">
        <v>50</v>
      </c>
      <c r="Q66" s="6">
        <v>14</v>
      </c>
      <c r="R66" s="9">
        <f t="shared" si="18"/>
        <v>64</v>
      </c>
      <c r="S66" s="6">
        <v>0</v>
      </c>
      <c r="T66" s="6">
        <v>0</v>
      </c>
      <c r="U66" s="9">
        <v>0</v>
      </c>
      <c r="V66" s="13">
        <f t="shared" si="19"/>
        <v>229</v>
      </c>
      <c r="W66" s="37"/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108</v>
      </c>
      <c r="C67" s="8" t="s">
        <v>109</v>
      </c>
      <c r="D67" s="6">
        <v>46</v>
      </c>
      <c r="E67" s="6">
        <v>17</v>
      </c>
      <c r="F67" s="9">
        <f t="shared" si="13"/>
        <v>63</v>
      </c>
      <c r="G67" s="6">
        <v>25</v>
      </c>
      <c r="H67" s="6">
        <v>17</v>
      </c>
      <c r="I67" s="9">
        <f t="shared" si="15"/>
        <v>42</v>
      </c>
      <c r="J67" s="6">
        <v>48</v>
      </c>
      <c r="K67" s="6">
        <v>17</v>
      </c>
      <c r="L67" s="9">
        <f t="shared" si="16"/>
        <v>65</v>
      </c>
      <c r="M67" s="6">
        <v>48</v>
      </c>
      <c r="N67" s="6">
        <v>17</v>
      </c>
      <c r="O67" s="9">
        <f t="shared" si="17"/>
        <v>65</v>
      </c>
      <c r="P67" s="6">
        <v>55</v>
      </c>
      <c r="Q67" s="6">
        <v>17</v>
      </c>
      <c r="R67" s="9">
        <f t="shared" si="18"/>
        <v>72</v>
      </c>
      <c r="S67" s="6">
        <v>0</v>
      </c>
      <c r="T67" s="6">
        <v>0</v>
      </c>
      <c r="U67" s="9">
        <v>0</v>
      </c>
      <c r="V67" s="13">
        <f t="shared" si="19"/>
        <v>307</v>
      </c>
      <c r="W67" s="37"/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110</v>
      </c>
      <c r="C68" s="8" t="s">
        <v>111</v>
      </c>
      <c r="D68" s="6">
        <v>38</v>
      </c>
      <c r="E68" s="6">
        <v>18</v>
      </c>
      <c r="F68" s="9">
        <f t="shared" si="13"/>
        <v>56</v>
      </c>
      <c r="G68" s="6">
        <v>53</v>
      </c>
      <c r="H68" s="6">
        <v>19</v>
      </c>
      <c r="I68" s="9">
        <f t="shared" si="15"/>
        <v>72</v>
      </c>
      <c r="J68" s="6">
        <v>39</v>
      </c>
      <c r="K68" s="6">
        <v>18</v>
      </c>
      <c r="L68" s="9">
        <f t="shared" si="16"/>
        <v>57</v>
      </c>
      <c r="M68" s="6">
        <v>42</v>
      </c>
      <c r="N68" s="6">
        <v>19</v>
      </c>
      <c r="O68" s="9">
        <f t="shared" si="17"/>
        <v>61</v>
      </c>
      <c r="P68" s="6">
        <v>38</v>
      </c>
      <c r="Q68" s="6">
        <v>19</v>
      </c>
      <c r="R68" s="9">
        <f t="shared" si="18"/>
        <v>57</v>
      </c>
      <c r="S68" s="6">
        <v>0</v>
      </c>
      <c r="T68" s="6">
        <v>0</v>
      </c>
      <c r="U68" s="9">
        <v>0</v>
      </c>
      <c r="V68" s="13">
        <f t="shared" si="19"/>
        <v>303</v>
      </c>
      <c r="W68" s="37"/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112</v>
      </c>
      <c r="C69" s="8" t="s">
        <v>113</v>
      </c>
      <c r="D69" s="6">
        <v>45</v>
      </c>
      <c r="E69" s="6">
        <v>19</v>
      </c>
      <c r="F69" s="9">
        <f t="shared" si="13"/>
        <v>64</v>
      </c>
      <c r="G69" s="6">
        <v>43</v>
      </c>
      <c r="H69" s="6">
        <v>19</v>
      </c>
      <c r="I69" s="9">
        <f t="shared" si="15"/>
        <v>62</v>
      </c>
      <c r="J69" s="6">
        <v>54</v>
      </c>
      <c r="K69" s="6">
        <v>19</v>
      </c>
      <c r="L69" s="9">
        <f t="shared" si="16"/>
        <v>73</v>
      </c>
      <c r="M69" s="6">
        <v>50</v>
      </c>
      <c r="N69" s="6">
        <v>19</v>
      </c>
      <c r="O69" s="9">
        <f t="shared" si="17"/>
        <v>69</v>
      </c>
      <c r="P69" s="6">
        <v>55</v>
      </c>
      <c r="Q69" s="6">
        <v>19</v>
      </c>
      <c r="R69" s="9">
        <f t="shared" si="18"/>
        <v>74</v>
      </c>
      <c r="S69" s="6">
        <v>0</v>
      </c>
      <c r="T69" s="6">
        <v>0</v>
      </c>
      <c r="U69" s="9">
        <v>0</v>
      </c>
      <c r="V69" s="13">
        <f t="shared" si="19"/>
        <v>342</v>
      </c>
      <c r="W69" s="37"/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114</v>
      </c>
      <c r="C70" s="8" t="s">
        <v>115</v>
      </c>
      <c r="D70" s="6">
        <v>41</v>
      </c>
      <c r="E70" s="6">
        <v>17</v>
      </c>
      <c r="F70" s="9">
        <f t="shared" si="13"/>
        <v>58</v>
      </c>
      <c r="G70" s="6">
        <v>37</v>
      </c>
      <c r="H70" s="6">
        <v>17</v>
      </c>
      <c r="I70" s="9">
        <f t="shared" si="15"/>
        <v>54</v>
      </c>
      <c r="J70" s="6">
        <v>49</v>
      </c>
      <c r="K70" s="6">
        <v>17</v>
      </c>
      <c r="L70" s="9">
        <f t="shared" si="16"/>
        <v>66</v>
      </c>
      <c r="M70" s="6">
        <v>36</v>
      </c>
      <c r="N70" s="6">
        <v>17</v>
      </c>
      <c r="O70" s="9">
        <f t="shared" si="17"/>
        <v>53</v>
      </c>
      <c r="P70" s="6">
        <v>45</v>
      </c>
      <c r="Q70" s="6">
        <v>17</v>
      </c>
      <c r="R70" s="9">
        <f t="shared" si="18"/>
        <v>62</v>
      </c>
      <c r="S70" s="6">
        <v>0</v>
      </c>
      <c r="T70" s="6">
        <v>0</v>
      </c>
      <c r="U70" s="9">
        <v>0</v>
      </c>
      <c r="V70" s="13">
        <f t="shared" si="19"/>
        <v>293</v>
      </c>
      <c r="W70" s="37"/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116</v>
      </c>
      <c r="C71" s="8" t="s">
        <v>117</v>
      </c>
      <c r="D71" s="6">
        <v>48</v>
      </c>
      <c r="E71" s="6">
        <v>19</v>
      </c>
      <c r="F71" s="9">
        <f t="shared" si="13"/>
        <v>67</v>
      </c>
      <c r="G71" s="6">
        <v>55</v>
      </c>
      <c r="H71" s="6">
        <v>19</v>
      </c>
      <c r="I71" s="9">
        <f t="shared" si="15"/>
        <v>74</v>
      </c>
      <c r="J71" s="6">
        <v>59</v>
      </c>
      <c r="K71" s="6">
        <v>19</v>
      </c>
      <c r="L71" s="9">
        <f t="shared" si="16"/>
        <v>78</v>
      </c>
      <c r="M71" s="6">
        <v>46</v>
      </c>
      <c r="N71" s="6">
        <v>19</v>
      </c>
      <c r="O71" s="9">
        <f t="shared" si="17"/>
        <v>65</v>
      </c>
      <c r="P71" s="6">
        <v>57</v>
      </c>
      <c r="Q71" s="6">
        <v>19</v>
      </c>
      <c r="R71" s="9">
        <f t="shared" si="18"/>
        <v>76</v>
      </c>
      <c r="S71" s="6">
        <v>0</v>
      </c>
      <c r="T71" s="6">
        <v>0</v>
      </c>
      <c r="U71" s="9">
        <v>0</v>
      </c>
      <c r="V71" s="13">
        <f t="shared" si="19"/>
        <v>360</v>
      </c>
      <c r="W71" s="37"/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118</v>
      </c>
      <c r="C72" s="8" t="s">
        <v>119</v>
      </c>
      <c r="D72" s="6">
        <v>49</v>
      </c>
      <c r="E72" s="6">
        <v>14</v>
      </c>
      <c r="F72" s="9">
        <f t="shared" si="13"/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0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1">SUM(P72+Q72)</f>
        <v>65</v>
      </c>
      <c r="S72" s="6">
        <v>0</v>
      </c>
      <c r="T72" s="6">
        <v>0</v>
      </c>
      <c r="U72" s="9">
        <v>0</v>
      </c>
      <c r="V72" s="13">
        <f t="shared" si="19"/>
        <v>291</v>
      </c>
      <c r="W72" s="37"/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120</v>
      </c>
      <c r="C73" s="8" t="s">
        <v>121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0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1"/>
        <v>66</v>
      </c>
      <c r="S73" s="6">
        <v>0</v>
      </c>
      <c r="T73" s="6">
        <v>0</v>
      </c>
      <c r="U73" s="9">
        <v>0</v>
      </c>
      <c r="V73" s="13">
        <f t="shared" si="19"/>
        <v>296</v>
      </c>
      <c r="W73" s="37"/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122</v>
      </c>
      <c r="C74" s="19" t="s">
        <v>123</v>
      </c>
      <c r="D74" s="17">
        <v>48</v>
      </c>
      <c r="E74" s="17">
        <v>17</v>
      </c>
      <c r="F74" s="18">
        <f t="shared" ref="F74:F83" si="22">SUM(D74+E74)</f>
        <v>65</v>
      </c>
      <c r="G74" s="17">
        <v>26</v>
      </c>
      <c r="H74" s="17">
        <v>18</v>
      </c>
      <c r="I74" s="18">
        <f t="shared" ref="I74:I75" si="23">SUM(G74+H74)</f>
        <v>44</v>
      </c>
      <c r="J74" s="17">
        <v>43</v>
      </c>
      <c r="K74" s="17">
        <v>17</v>
      </c>
      <c r="L74" s="18">
        <f t="shared" si="20"/>
        <v>60</v>
      </c>
      <c r="M74" s="17">
        <v>48</v>
      </c>
      <c r="N74" s="17">
        <v>18</v>
      </c>
      <c r="O74" s="18">
        <f t="shared" ref="O74:O75" si="24">SUM(M74+N74)</f>
        <v>66</v>
      </c>
      <c r="P74" s="17">
        <v>59</v>
      </c>
      <c r="Q74" s="17">
        <v>18</v>
      </c>
      <c r="R74" s="18">
        <f t="shared" si="21"/>
        <v>77</v>
      </c>
      <c r="S74" s="17">
        <v>0</v>
      </c>
      <c r="T74" s="17">
        <v>0</v>
      </c>
      <c r="U74" s="18">
        <v>0</v>
      </c>
      <c r="V74" s="13">
        <f t="shared" si="19"/>
        <v>312</v>
      </c>
      <c r="W74" s="38"/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124</v>
      </c>
      <c r="C75" s="8" t="s">
        <v>125</v>
      </c>
      <c r="D75" s="6">
        <v>30</v>
      </c>
      <c r="E75" s="6">
        <v>20</v>
      </c>
      <c r="F75" s="9">
        <f t="shared" si="22"/>
        <v>50</v>
      </c>
      <c r="G75" s="13">
        <v>20</v>
      </c>
      <c r="H75" s="13">
        <v>20</v>
      </c>
      <c r="I75" s="9">
        <f t="shared" si="23"/>
        <v>40</v>
      </c>
      <c r="J75" s="6">
        <v>34</v>
      </c>
      <c r="K75" s="6">
        <v>20</v>
      </c>
      <c r="L75" s="9">
        <f t="shared" si="20"/>
        <v>54</v>
      </c>
      <c r="M75" s="6">
        <v>31</v>
      </c>
      <c r="N75" s="6">
        <v>20</v>
      </c>
      <c r="O75" s="9">
        <f t="shared" si="24"/>
        <v>51</v>
      </c>
      <c r="P75" s="6">
        <v>40</v>
      </c>
      <c r="Q75" s="6">
        <v>20</v>
      </c>
      <c r="R75" s="9">
        <f t="shared" si="21"/>
        <v>60</v>
      </c>
      <c r="S75" s="6">
        <v>0</v>
      </c>
      <c r="T75" s="6">
        <v>0</v>
      </c>
      <c r="U75" s="9">
        <v>0</v>
      </c>
      <c r="V75" s="13">
        <f t="shared" si="19"/>
        <v>255</v>
      </c>
      <c r="W75" s="37"/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126</v>
      </c>
      <c r="C76" s="8" t="s">
        <v>127</v>
      </c>
      <c r="D76" s="6">
        <v>38</v>
      </c>
      <c r="E76" s="6">
        <v>17</v>
      </c>
      <c r="F76" s="9">
        <f t="shared" si="22"/>
        <v>55</v>
      </c>
      <c r="G76" s="6">
        <v>32</v>
      </c>
      <c r="H76" s="6">
        <v>17</v>
      </c>
      <c r="I76" s="9">
        <f t="shared" ref="I76:I83" si="25">SUM(G76+H76)</f>
        <v>49</v>
      </c>
      <c r="J76" s="6">
        <v>49</v>
      </c>
      <c r="K76" s="6">
        <v>17</v>
      </c>
      <c r="L76" s="9">
        <f t="shared" ref="L76:L83" si="26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19"/>
        <v>283</v>
      </c>
      <c r="W76" s="37"/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128</v>
      </c>
      <c r="C77" s="8" t="s">
        <v>129</v>
      </c>
      <c r="D77" s="6">
        <v>38</v>
      </c>
      <c r="E77" s="6">
        <v>19</v>
      </c>
      <c r="F77" s="9">
        <f t="shared" si="22"/>
        <v>57</v>
      </c>
      <c r="G77" s="6">
        <v>49</v>
      </c>
      <c r="H77" s="6">
        <v>19</v>
      </c>
      <c r="I77" s="9">
        <f t="shared" si="25"/>
        <v>68</v>
      </c>
      <c r="J77" s="6">
        <v>54</v>
      </c>
      <c r="K77" s="6">
        <v>19</v>
      </c>
      <c r="L77" s="9">
        <f t="shared" si="26"/>
        <v>73</v>
      </c>
      <c r="M77" s="6">
        <v>52</v>
      </c>
      <c r="N77" s="6">
        <v>19</v>
      </c>
      <c r="O77" s="9">
        <f t="shared" ref="O77:O83" si="27">SUM(M77+N77)</f>
        <v>71</v>
      </c>
      <c r="P77" s="6">
        <v>55</v>
      </c>
      <c r="Q77" s="6">
        <v>19</v>
      </c>
      <c r="R77" s="9">
        <f t="shared" ref="R77:R83" si="28">SUM(P77+Q77)</f>
        <v>74</v>
      </c>
      <c r="S77" s="6">
        <v>0</v>
      </c>
      <c r="T77" s="6">
        <v>0</v>
      </c>
      <c r="U77" s="9">
        <v>0</v>
      </c>
      <c r="V77" s="13">
        <f t="shared" si="19"/>
        <v>343</v>
      </c>
      <c r="W77" s="37"/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130</v>
      </c>
      <c r="C78" s="8" t="s">
        <v>131</v>
      </c>
      <c r="D78" s="6">
        <v>38</v>
      </c>
      <c r="E78" s="6">
        <v>14</v>
      </c>
      <c r="F78" s="9">
        <f t="shared" si="22"/>
        <v>52</v>
      </c>
      <c r="G78" s="6">
        <v>4</v>
      </c>
      <c r="H78" s="6">
        <v>14</v>
      </c>
      <c r="I78" s="9">
        <f t="shared" si="25"/>
        <v>18</v>
      </c>
      <c r="J78" s="6">
        <v>40</v>
      </c>
      <c r="K78" s="6">
        <v>14</v>
      </c>
      <c r="L78" s="9">
        <f t="shared" si="26"/>
        <v>54</v>
      </c>
      <c r="M78" s="6">
        <v>35</v>
      </c>
      <c r="N78" s="6">
        <v>14</v>
      </c>
      <c r="O78" s="9">
        <f t="shared" si="27"/>
        <v>49</v>
      </c>
      <c r="P78" s="6">
        <v>44</v>
      </c>
      <c r="Q78" s="6">
        <v>14</v>
      </c>
      <c r="R78" s="9">
        <f t="shared" si="28"/>
        <v>58</v>
      </c>
      <c r="S78" s="6">
        <v>0</v>
      </c>
      <c r="T78" s="6">
        <v>0</v>
      </c>
      <c r="U78" s="9">
        <v>0</v>
      </c>
      <c r="V78" s="13">
        <f t="shared" si="19"/>
        <v>231</v>
      </c>
      <c r="W78" s="37"/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132</v>
      </c>
      <c r="C79" s="8" t="s">
        <v>133</v>
      </c>
      <c r="D79" s="6">
        <v>36</v>
      </c>
      <c r="E79" s="6">
        <v>16</v>
      </c>
      <c r="F79" s="9">
        <f t="shared" si="22"/>
        <v>52</v>
      </c>
      <c r="G79" s="6">
        <v>30</v>
      </c>
      <c r="H79" s="6">
        <v>16</v>
      </c>
      <c r="I79" s="9">
        <f t="shared" si="25"/>
        <v>46</v>
      </c>
      <c r="J79" s="6">
        <v>50</v>
      </c>
      <c r="K79" s="6">
        <v>16</v>
      </c>
      <c r="L79" s="9">
        <f t="shared" si="26"/>
        <v>66</v>
      </c>
      <c r="M79" s="6">
        <v>41</v>
      </c>
      <c r="N79" s="6">
        <v>16</v>
      </c>
      <c r="O79" s="9">
        <f t="shared" si="27"/>
        <v>57</v>
      </c>
      <c r="P79" s="6">
        <v>51</v>
      </c>
      <c r="Q79" s="6">
        <v>16</v>
      </c>
      <c r="R79" s="9">
        <f t="shared" si="28"/>
        <v>67</v>
      </c>
      <c r="S79" s="6">
        <v>0</v>
      </c>
      <c r="T79" s="6">
        <v>0</v>
      </c>
      <c r="U79" s="9">
        <v>0</v>
      </c>
      <c r="V79" s="13">
        <f t="shared" si="19"/>
        <v>288</v>
      </c>
      <c r="W79" s="37"/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134</v>
      </c>
      <c r="C80" s="8" t="s">
        <v>135</v>
      </c>
      <c r="D80" s="6">
        <v>40</v>
      </c>
      <c r="E80" s="6">
        <v>14</v>
      </c>
      <c r="F80" s="9">
        <f t="shared" si="22"/>
        <v>54</v>
      </c>
      <c r="G80" s="6">
        <v>30</v>
      </c>
      <c r="H80" s="6">
        <v>14</v>
      </c>
      <c r="I80" s="9">
        <f t="shared" si="25"/>
        <v>44</v>
      </c>
      <c r="J80" s="6">
        <v>40</v>
      </c>
      <c r="K80" s="6">
        <v>14</v>
      </c>
      <c r="L80" s="9">
        <f t="shared" si="26"/>
        <v>54</v>
      </c>
      <c r="M80" s="6">
        <v>39</v>
      </c>
      <c r="N80" s="6">
        <v>14</v>
      </c>
      <c r="O80" s="9">
        <f t="shared" si="27"/>
        <v>53</v>
      </c>
      <c r="P80" s="6">
        <v>46</v>
      </c>
      <c r="Q80" s="6">
        <v>14</v>
      </c>
      <c r="R80" s="9">
        <f t="shared" si="28"/>
        <v>60</v>
      </c>
      <c r="S80" s="6">
        <v>0</v>
      </c>
      <c r="T80" s="6">
        <v>0</v>
      </c>
      <c r="U80" s="9">
        <v>0</v>
      </c>
      <c r="V80" s="13">
        <f t="shared" si="19"/>
        <v>265</v>
      </c>
      <c r="W80" s="37"/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136</v>
      </c>
      <c r="C81" s="8" t="s">
        <v>137</v>
      </c>
      <c r="D81" s="6">
        <v>40</v>
      </c>
      <c r="E81" s="6">
        <v>14</v>
      </c>
      <c r="F81" s="9">
        <f t="shared" si="22"/>
        <v>54</v>
      </c>
      <c r="G81" s="6">
        <v>30</v>
      </c>
      <c r="H81" s="6">
        <v>14</v>
      </c>
      <c r="I81" s="9">
        <f t="shared" si="25"/>
        <v>44</v>
      </c>
      <c r="J81" s="6">
        <v>48</v>
      </c>
      <c r="K81" s="6">
        <v>14</v>
      </c>
      <c r="L81" s="9">
        <f t="shared" si="26"/>
        <v>62</v>
      </c>
      <c r="M81" s="6">
        <v>47</v>
      </c>
      <c r="N81" s="6">
        <v>14</v>
      </c>
      <c r="O81" s="9">
        <f t="shared" si="27"/>
        <v>61</v>
      </c>
      <c r="P81" s="6">
        <v>54</v>
      </c>
      <c r="Q81" s="6">
        <v>14</v>
      </c>
      <c r="R81" s="9">
        <f t="shared" si="28"/>
        <v>68</v>
      </c>
      <c r="S81" s="6">
        <v>0</v>
      </c>
      <c r="T81" s="6">
        <v>0</v>
      </c>
      <c r="U81" s="9">
        <v>0</v>
      </c>
      <c r="V81" s="13">
        <f t="shared" si="19"/>
        <v>289</v>
      </c>
      <c r="W81" s="37"/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138</v>
      </c>
      <c r="C82" s="8" t="s">
        <v>139</v>
      </c>
      <c r="D82" s="6">
        <v>46</v>
      </c>
      <c r="E82" s="6">
        <v>19</v>
      </c>
      <c r="F82" s="9">
        <f t="shared" si="22"/>
        <v>65</v>
      </c>
      <c r="G82" s="6">
        <v>21</v>
      </c>
      <c r="H82" s="6">
        <v>19</v>
      </c>
      <c r="I82" s="9">
        <f t="shared" si="25"/>
        <v>40</v>
      </c>
      <c r="J82" s="6">
        <v>40</v>
      </c>
      <c r="K82" s="6">
        <v>19</v>
      </c>
      <c r="L82" s="9">
        <f t="shared" si="26"/>
        <v>59</v>
      </c>
      <c r="M82" s="6">
        <v>41</v>
      </c>
      <c r="N82" s="6">
        <v>19</v>
      </c>
      <c r="O82" s="9">
        <f t="shared" si="27"/>
        <v>60</v>
      </c>
      <c r="P82" s="6">
        <v>34</v>
      </c>
      <c r="Q82" s="6">
        <v>19</v>
      </c>
      <c r="R82" s="9">
        <f t="shared" si="28"/>
        <v>53</v>
      </c>
      <c r="S82" s="6">
        <v>0</v>
      </c>
      <c r="T82" s="6">
        <v>0</v>
      </c>
      <c r="U82" s="9">
        <v>0</v>
      </c>
      <c r="V82" s="13">
        <f t="shared" si="19"/>
        <v>277</v>
      </c>
      <c r="W82" s="37"/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140</v>
      </c>
      <c r="C83" s="8" t="s">
        <v>141</v>
      </c>
      <c r="D83" s="6">
        <v>28</v>
      </c>
      <c r="E83" s="6">
        <v>19</v>
      </c>
      <c r="F83" s="9">
        <f t="shared" si="22"/>
        <v>47</v>
      </c>
      <c r="G83" s="6">
        <v>21</v>
      </c>
      <c r="H83" s="6">
        <v>19</v>
      </c>
      <c r="I83" s="9">
        <f t="shared" si="25"/>
        <v>40</v>
      </c>
      <c r="J83" s="6">
        <v>36</v>
      </c>
      <c r="K83" s="6">
        <v>19</v>
      </c>
      <c r="L83" s="9">
        <f t="shared" si="26"/>
        <v>55</v>
      </c>
      <c r="M83" s="6">
        <v>37</v>
      </c>
      <c r="N83" s="6">
        <v>19</v>
      </c>
      <c r="O83" s="9">
        <f t="shared" si="27"/>
        <v>56</v>
      </c>
      <c r="P83" s="6">
        <v>0</v>
      </c>
      <c r="Q83" s="6">
        <v>0</v>
      </c>
      <c r="R83" s="9">
        <f t="shared" si="28"/>
        <v>0</v>
      </c>
      <c r="S83" s="13">
        <v>23</v>
      </c>
      <c r="T83" s="13">
        <v>19</v>
      </c>
      <c r="U83" s="16">
        <f t="shared" ref="U83" si="29">SUM(S83+T83)</f>
        <v>42</v>
      </c>
      <c r="V83" s="13">
        <f t="shared" si="19"/>
        <v>240</v>
      </c>
      <c r="W83" s="37"/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/>
      <c r="D91" s="4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46"/>
      <c r="B98" s="46"/>
      <c r="C98" s="46"/>
      <c r="D98" s="47"/>
      <c r="E98" s="48"/>
      <c r="F98" s="48"/>
      <c r="G98" s="48"/>
      <c r="H98" s="39"/>
      <c r="I98" s="39"/>
      <c r="J98" s="39"/>
      <c r="K98" s="47"/>
      <c r="L98" s="47"/>
      <c r="M98" s="47"/>
      <c r="N98" s="47"/>
      <c r="O98" s="47"/>
      <c r="P98" s="47"/>
      <c r="Q98" s="39"/>
      <c r="R98" s="47"/>
      <c r="S98" s="47"/>
      <c r="T98" s="47"/>
      <c r="U98" s="47"/>
      <c r="V98" s="47"/>
      <c r="W98" s="47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49"/>
      <c r="B100" s="49"/>
      <c r="C100" s="49"/>
      <c r="D100" s="50"/>
      <c r="E100" s="48"/>
      <c r="F100" s="48"/>
      <c r="G100" s="48"/>
      <c r="H100" s="42"/>
      <c r="I100" s="42"/>
      <c r="J100" s="50"/>
      <c r="K100" s="50"/>
      <c r="L100" s="50"/>
      <c r="M100" s="50"/>
      <c r="N100" s="50"/>
      <c r="O100" s="50"/>
      <c r="P100" s="50"/>
      <c r="Q100" s="42"/>
      <c r="R100" s="50"/>
      <c r="S100" s="50"/>
      <c r="T100" s="50"/>
      <c r="U100" s="50"/>
      <c r="V100" s="50"/>
      <c r="W100" s="50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A1:W7"/>
    <mergeCell ref="A8:W8"/>
    <mergeCell ref="A9:W9"/>
    <mergeCell ref="A10:A11"/>
    <mergeCell ref="B10:B11"/>
    <mergeCell ref="C10:C11"/>
    <mergeCell ref="D10:F10"/>
    <mergeCell ref="W10:W11"/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2026-04-12T06:54:35Z</dcterms:modified>
</cp:coreProperties>
</file>